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_and_lo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FF0000"/>
    </font>
    <font>
      <name val="arial"/>
      <sz val="11.0"/>
      <color rgb="FFFFFFFF"/>
    </font>
    <font>
      <name val="arial"/>
      <sz val="12.0"/>
      <color rgb="FF000000"/>
      <b val="true"/>
      <i val="true"/>
    </font>
    <font>
      <name val="arial"/>
      <sz val="12.0"/>
      <color rgb="FF000000"/>
      <b val="true"/>
    </font>
    <font>
      <name val="arial"/>
      <sz val="16.0"/>
      <color rgb="FF000000"/>
      <b val="true"/>
    </font>
    <font>
      <name val="arial"/>
      <sz val="11.0"/>
      <color rgb="FFFFFFFF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FF5F5F5"/>
      </patternFill>
    </fill>
    <fill>
      <patternFill patternType="solid">
        <fgColor rgb="FFFF0000"/>
      </patternFill>
    </fill>
    <fill>
      <patternFill patternType="none">
        <fgColor rgb="FFF5F5F5"/>
      </patternFill>
    </fill>
    <fill>
      <patternFill patternType="none">
        <fgColor rgb="FF468847"/>
      </patternFill>
    </fill>
    <fill>
      <patternFill patternType="solid">
        <fgColor rgb="FF468847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F6B5"/>
      </patternFill>
    </fill>
    <fill>
      <patternFill patternType="solid">
        <fgColor rgb="FFFFF6B5"/>
      </patternFill>
    </fill>
    <fill>
      <patternFill patternType="none">
        <fgColor rgb="FF2D373C"/>
      </patternFill>
    </fill>
    <fill>
      <patternFill patternType="solid">
        <fgColor rgb="FF2D373C"/>
      </patternFill>
    </fill>
    <fill>
      <patternFill patternType="none">
        <fgColor rgb="FFF7CBAF"/>
      </patternFill>
    </fill>
    <fill>
      <patternFill patternType="solid">
        <fgColor rgb="FFF7CBAF"/>
      </patternFill>
    </fill>
    <fill>
      <patternFill patternType="none">
        <fgColor rgb="FF1072BD"/>
      </patternFill>
    </fill>
    <fill>
      <patternFill patternType="solid">
        <fgColor rgb="FF1072BD"/>
      </patternFill>
    </fill>
    <fill>
      <patternFill patternType="none">
        <fgColor rgb="FFFF000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5D5D5"/>
      </bottom>
    </border>
    <border>
      <left style="thin"/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numFmtId="0" fontId="0" fillId="0" borderId="0"/>
  </cellStyleXfs>
  <cellXfs count="46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4" fillId="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9" fillId="7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left" vertical="bottom"/>
    </xf>
    <xf numFmtId="0" fontId="9" fillId="11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center" vertical="bottom"/>
    </xf>
    <xf numFmtId="0" fontId="5" fillId="9" borderId="8" xfId="0" applyFont="true" applyFill="true" applyBorder="true" applyAlignment="true">
      <alignment horizontal="center" vertical="bottom"/>
    </xf>
    <xf numFmtId="0" fontId="9" fillId="9" borderId="8" xfId="0" applyFont="true" applyFill="true" applyBorder="true" applyAlignment="true">
      <alignment horizontal="right" vertical="bottom"/>
    </xf>
    <xf numFmtId="0" fontId="9" fillId="11" borderId="8" xfId="0" applyFont="true" applyFill="true" applyBorder="true" applyAlignment="true">
      <alignment horizontal="center" vertical="bottom"/>
    </xf>
    <xf numFmtId="0" fontId="7" fillId="13" borderId="8" xfId="0" applyFont="true" applyFill="true" applyBorder="true" applyAlignment="true">
      <alignment horizontal="center" vertical="center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righ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1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left" vertical="center"/>
    </xf>
    <xf numFmtId="0" fontId="8" fillId="17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right" vertical="center"/>
    </xf>
    <xf numFmtId="0" fontId="9" fillId="15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9" fillId="4" borderId="8" xfId="0" applyFont="true" applyFill="true" applyBorder="true" applyAlignment="true">
      <alignment horizontal="right" vertical="bottom"/>
    </xf>
    <xf numFmtId="0" fontId="9" fillId="4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left" vertical="center"/>
    </xf>
    <xf numFmtId="0" fontId="5" fillId="9" borderId="8" xfId="0" applyFont="true" applyFill="true" applyBorder="true" applyAlignment="true">
      <alignment horizontal="left" vertical="bottom"/>
    </xf>
    <xf numFmtId="0" fontId="9" fillId="3" borderId="8" xfId="0" applyFont="true" applyFill="true" applyBorder="true" applyAlignment="true">
      <alignment horizontal="right" vertical="bottom"/>
    </xf>
    <xf numFmtId="0" fontId="4" fillId="3" borderId="8" xfId="0" applyFont="true" applyFill="true" applyBorder="true" applyAlignment="true">
      <alignment horizontal="left" vertical="center"/>
    </xf>
    <xf numFmtId="0" fontId="4" fillId="3" borderId="8" xfId="0" applyFont="true" applyFill="true" applyBorder="true" applyAlignment="true">
      <alignment horizontal="center" vertical="center"/>
    </xf>
    <xf numFmtId="0" fontId="9" fillId="7" borderId="8" xfId="0" applyFont="true" applyFill="true" applyBorder="true" applyAlignment="true">
      <alignment horizontal="left" vertical="bottom"/>
    </xf>
    <xf numFmtId="0" fontId="9" fillId="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center" vertical="bottom"/>
    </xf>
    <xf numFmtId="0" fontId="9" fillId="4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5" fillId="9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right" vertical="bottom"/>
    </xf>
    <xf numFmtId="0" fontId="9" fillId="3" borderId="8" xfId="0" applyFont="true" applyFill="true" applyBorder="true" applyAlignment="true">
      <alignment horizontal="center" vertical="bottom"/>
    </xf>
    <xf numFmtId="0" fontId="6" fillId="13" borderId="8" xfId="0" applyFont="true" applyFill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1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  <col min="6" max="6" width="39.0625" customWidth="true"/>
  </cols>
  <sheetData>
    <row r="1" customHeight="1" ht="70.0">
      <c r="A1" s="13" t="inlineStr">
        <is>
          <t>Envo Drive Systems Inc.
            Profit and Loss
            Basis: Accrual</t>
        </is>
      </c>
    </row>
    <row r="2">
      <c r="A2" s="44" t="inlineStr">
        <is>
          <t/>
        </is>
      </c>
      <c r="B2" s="44" t="inlineStr">
        <is>
          <t>01 Nov 2022 - 15 Apr 2023</t>
        </is>
      </c>
      <c r="C2" s="44" t="inlineStr">
        <is>
          <t>01 Nov 2023 - 15 Apr 2024</t>
        </is>
      </c>
      <c r="D2" s="44" t="inlineStr">
        <is>
          <t>01 Nov 2024 - 15 Apr 2025</t>
        </is>
      </c>
      <c r="E2" s="44" t="inlineStr">
        <is>
          <t>01 Nov 2025 - 15 Apr 2026</t>
        </is>
      </c>
      <c r="F2" s="44" t="inlineStr">
        <is>
          <t/>
        </is>
      </c>
    </row>
    <row r="3">
      <c r="A3" s="14" t="inlineStr">
        <is>
          <t xml:space="preserve">Account </t>
        </is>
      </c>
      <c r="B3" s="32" t="inlineStr">
        <is>
          <t xml:space="preserve">Total </t>
        </is>
      </c>
      <c r="C3" s="32" t="inlineStr">
        <is>
          <t xml:space="preserve">Total </t>
        </is>
      </c>
      <c r="D3" s="32" t="inlineStr">
        <is>
          <t xml:space="preserve">Total </t>
        </is>
      </c>
      <c r="E3" s="32" t="inlineStr">
        <is>
          <t xml:space="preserve">Total </t>
        </is>
      </c>
      <c r="F3" s="32" t="inlineStr">
        <is>
          <t>Year To Date                  2025/11/01 - 2026/04/15</t>
        </is>
      </c>
    </row>
    <row r="5">
      <c r="A5" s="7" t="inlineStr">
        <is>
          <t>Operating Income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s="7" t="inlineStr">
        <is>
          <t xml:space="preserve">          Discount</t>
        </is>
      </c>
      <c r="B6" s="11" t="n">
        <v>-511192.94</v>
      </c>
      <c r="C6" s="11" t="n">
        <v>-565337.84</v>
      </c>
      <c r="D6" s="11" t="n">
        <v>-386426.72</v>
      </c>
      <c r="E6" s="11" t="n">
        <v>-235364.29</v>
      </c>
      <c r="F6" s="11" t="n">
        <v>-235364.29</v>
      </c>
    </row>
    <row r="7">
      <c r="A7" s="7" t="inlineStr">
        <is>
          <t xml:space="preserve">          Discount - Costco Sales</t>
        </is>
      </c>
      <c r="B7" s="11" t="n">
        <v>0.0</v>
      </c>
      <c r="C7" s="11" t="n">
        <v>-48000.0</v>
      </c>
      <c r="D7" s="11" t="n">
        <v>-231015.93</v>
      </c>
      <c r="E7" s="11" t="n">
        <v>-15500.0</v>
      </c>
      <c r="F7" s="11" t="n">
        <v>-15500.0</v>
      </c>
    </row>
    <row r="8">
      <c r="A8" s="7" t="inlineStr">
        <is>
          <t xml:space="preserve">          Interest Income</t>
        </is>
      </c>
      <c r="B8" s="11" t="n">
        <v>1.94</v>
      </c>
      <c r="C8" s="11" t="n">
        <v>0.0</v>
      </c>
      <c r="D8" s="11" t="n">
        <v>0.0</v>
      </c>
      <c r="E8" s="11" t="n">
        <v>0.0</v>
      </c>
      <c r="F8" s="11" t="n">
        <v>0.0</v>
      </c>
    </row>
    <row r="9">
      <c r="A9" s="7" t="inlineStr">
        <is>
          <t xml:space="preserve">          Other Charges -Shipping Discount</t>
        </is>
      </c>
      <c r="B9" s="11" t="n">
        <v>-33545.58</v>
      </c>
      <c r="C9" s="11" t="n">
        <v>-8668.35</v>
      </c>
      <c r="D9" s="11" t="n">
        <v>570.55</v>
      </c>
      <c r="E9" s="11" t="n">
        <v>-15476.65</v>
      </c>
      <c r="F9" s="11" t="n">
        <v>-15476.65</v>
      </c>
    </row>
    <row r="10">
      <c r="A10" s="7" t="inlineStr">
        <is>
          <t xml:space="preserve">          Sales</t>
        </is>
      </c>
      <c r="B10" s="11" t="n">
        <v>2554544.13</v>
      </c>
      <c r="C10" s="11" t="n">
        <v>2735325.56</v>
      </c>
      <c r="D10" s="11" t="n">
        <v>2483841.83</v>
      </c>
      <c r="E10" s="11" t="n">
        <v>3155560.91</v>
      </c>
      <c r="F10" s="11" t="n">
        <v>3155560.91</v>
      </c>
    </row>
    <row r="11">
      <c r="A11" s="7" t="inlineStr">
        <is>
          <t xml:space="preserve">          Sales of Product Income Costco</t>
        </is>
      </c>
      <c r="B11" s="11" t="n">
        <v>109355.0</v>
      </c>
      <c r="C11" s="11" t="n">
        <v>566934.74</v>
      </c>
      <c r="D11" s="11" t="n">
        <v>1011758.02</v>
      </c>
      <c r="E11" s="11" t="n">
        <v>459477.28</v>
      </c>
      <c r="F11" s="11" t="n">
        <v>459477.28</v>
      </c>
    </row>
    <row r="12">
      <c r="A12" s="7" t="inlineStr">
        <is>
          <t xml:space="preserve">          Shipping and Delivery Income</t>
        </is>
      </c>
      <c r="B12" s="11" t="n">
        <v>0.0</v>
      </c>
      <c r="C12" s="11" t="n">
        <v>0.0</v>
      </c>
      <c r="D12" s="11" t="n">
        <v>-340.75</v>
      </c>
      <c r="E12" s="11" t="n">
        <v>0.0</v>
      </c>
      <c r="F12" s="11" t="n">
        <v>0.0</v>
      </c>
    </row>
    <row r="13">
      <c r="A13" s="7" t="inlineStr">
        <is>
          <t xml:space="preserve">          Shipping Charge</t>
        </is>
      </c>
      <c r="B13" s="11" t="n">
        <v>110264.7</v>
      </c>
      <c r="C13" s="11" t="n">
        <v>86542.95</v>
      </c>
      <c r="D13" s="11" t="n">
        <v>35615.3</v>
      </c>
      <c r="E13" s="11" t="n">
        <v>5369.82</v>
      </c>
      <c r="F13" s="11" t="n">
        <v>5369.82</v>
      </c>
    </row>
    <row r="14">
      <c r="A14" s="7" t="inlineStr">
        <is>
          <t xml:space="preserve">          Shipping Income</t>
        </is>
      </c>
      <c r="B14" s="11" t="n">
        <v>0.0</v>
      </c>
      <c r="C14" s="11" t="n">
        <v>0.0</v>
      </c>
      <c r="D14" s="11" t="n">
        <v>40325.86</v>
      </c>
      <c r="E14" s="11" t="n">
        <v>94961.88</v>
      </c>
      <c r="F14" s="11" t="n">
        <v>94961.88</v>
      </c>
    </row>
    <row r="15">
      <c r="A15" s="7" t="inlineStr">
        <is>
          <t xml:space="preserve">          Uncategorized Income</t>
        </is>
      </c>
      <c r="B15" s="11" t="n">
        <v>0.0</v>
      </c>
      <c r="C15" s="11" t="n">
        <v>20000.0</v>
      </c>
      <c r="D15" s="11" t="n">
        <v>0.0</v>
      </c>
      <c r="E15" s="11" t="n">
        <v>0.0</v>
      </c>
      <c r="F15" s="11" t="n">
        <v>0.0</v>
      </c>
    </row>
    <row r="16">
      <c r="A16" s="26" t="inlineStr">
        <is>
          <t>Total for Operating Income</t>
        </is>
      </c>
      <c r="B16" s="5" t="n">
        <f>(+(B6)+(B7)+(B8)+(B9)+(B10)+(B11)+(B12)+(B13)+(B14)+(B15))</f>
        <v>0.0</v>
      </c>
      <c r="C16" s="5" t="n">
        <f>(+(C6)+(C7)+(C8)+(C9)+(C10)+(C11)+(C12)+(C13)+(C14)+(C15))</f>
        <v>0.0</v>
      </c>
      <c r="D16" s="5" t="n">
        <f>(+(D6)+(D7)+(D8)+(D9)+(D10)+(D11)+(D12)+(D13)+(D14)+(D15))</f>
        <v>0.0</v>
      </c>
      <c r="E16" s="5" t="n">
        <f>(+(E6)+(E7)+(E8)+(E9)+(E10)+(E11)+(E12)+(E13)+(E14)+(E15))</f>
        <v>0.0</v>
      </c>
      <c r="F16" s="5" t="n">
        <f>(+(F6)+(F7)+(F8)+(F9)+(F10)+(F11)+(F12)+(F13)+(F14)+(F15))</f>
        <v>0.0</v>
      </c>
    </row>
    <row r="18">
      <c r="A18" s="7" t="inlineStr">
        <is>
          <t>Cost of Goods Sold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</row>
    <row r="19">
      <c r="A19" s="7" t="inlineStr">
        <is>
          <t xml:space="preserve">          Cost of Goods Sold</t>
        </is>
      </c>
      <c r="B19" s="11" t="n">
        <v>1085847.57</v>
      </c>
      <c r="C19" s="11" t="n">
        <v>1363182.03</v>
      </c>
      <c r="D19" s="11" t="n">
        <v>1189599.84</v>
      </c>
      <c r="E19" s="11" t="n">
        <v>1456223.41</v>
      </c>
      <c r="F19" s="11" t="n">
        <v>1456223.41</v>
      </c>
    </row>
    <row r="20">
      <c r="A20" s="7" t="inlineStr">
        <is>
          <t xml:space="preserve">          Cost of Goods Sold - Product Certificate</t>
        </is>
      </c>
      <c r="B20" s="11" t="n">
        <v>0.0</v>
      </c>
      <c r="C20" s="11" t="n">
        <v>7402.83</v>
      </c>
      <c r="D20" s="11" t="n">
        <v>5000.36</v>
      </c>
      <c r="E20" s="11" t="n">
        <v>5269.62</v>
      </c>
      <c r="F20" s="11" t="n">
        <v>5269.62</v>
      </c>
    </row>
    <row r="21">
      <c r="A21" s="7" t="inlineStr">
        <is>
          <t xml:space="preserve">          Cost of Goods Sold Costco</t>
        </is>
      </c>
      <c r="B21" s="11" t="n">
        <v>57887.91</v>
      </c>
      <c r="C21" s="11" t="n">
        <v>250182.14</v>
      </c>
      <c r="D21" s="11" t="n">
        <v>439893.52</v>
      </c>
      <c r="E21" s="11" t="n">
        <v>217938.2</v>
      </c>
      <c r="F21" s="11" t="n">
        <v>217938.2</v>
      </c>
    </row>
    <row r="22">
      <c r="A22" s="7" t="inlineStr">
        <is>
          <t xml:space="preserve">          Cost of Labour - COGS</t>
        </is>
      </c>
      <c r="B22" s="11" t="n">
        <v>616.67</v>
      </c>
      <c r="C22" s="11" t="n">
        <v>561.9</v>
      </c>
      <c r="D22" s="11" t="n">
        <v>14380.49</v>
      </c>
      <c r="E22" s="11" t="n">
        <v>28556.63</v>
      </c>
      <c r="F22" s="11" t="n">
        <v>28556.63</v>
      </c>
    </row>
    <row r="23">
      <c r="A23" s="7" t="inlineStr">
        <is>
          <t xml:space="preserve">          Cost of Labour - Costco</t>
        </is>
      </c>
      <c r="B23" s="11" t="n">
        <v>2835.17</v>
      </c>
      <c r="C23" s="11" t="n">
        <v>300.0</v>
      </c>
      <c r="D23" s="11" t="n">
        <v>150.0</v>
      </c>
      <c r="E23" s="11" t="n">
        <v>1980.0</v>
      </c>
      <c r="F23" s="11" t="n">
        <v>1980.0</v>
      </c>
    </row>
    <row r="24">
      <c r="A24" s="7" t="inlineStr">
        <is>
          <t xml:space="preserve">          Customs and Duties - COGS</t>
        </is>
      </c>
      <c r="B24" s="11" t="n">
        <v>8065.38</v>
      </c>
      <c r="C24" s="11" t="n">
        <v>32784.61</v>
      </c>
      <c r="D24" s="11" t="n">
        <v>38373.42</v>
      </c>
      <c r="E24" s="11" t="n">
        <v>48724.13</v>
      </c>
      <c r="F24" s="11" t="n">
        <v>48724.13</v>
      </c>
    </row>
    <row r="25">
      <c r="A25" s="7" t="inlineStr">
        <is>
          <t xml:space="preserve">          Freight and delivery - COGS -Outbound</t>
        </is>
      </c>
      <c r="B25" s="11" t="n">
        <v>115092.88</v>
      </c>
      <c r="C25" s="11" t="n">
        <v>128205.74</v>
      </c>
      <c r="D25" s="11" t="n">
        <v>134783.36</v>
      </c>
      <c r="E25" s="11" t="n">
        <v>83331.43</v>
      </c>
      <c r="F25" s="11" t="n">
        <v>83331.43</v>
      </c>
    </row>
    <row r="26">
      <c r="A26" s="7" t="inlineStr">
        <is>
          <t xml:space="preserve">          Inventory Shrinkage</t>
        </is>
      </c>
      <c r="B26" s="11" t="n">
        <v>0.0</v>
      </c>
      <c r="C26" s="11" t="n">
        <v>0.0</v>
      </c>
      <c r="D26" s="11" t="n">
        <v>-426.0</v>
      </c>
      <c r="E26" s="11" t="n">
        <v>0.0</v>
      </c>
      <c r="F26" s="11" t="n">
        <v>0.0</v>
      </c>
    </row>
    <row r="27">
      <c r="A27" s="7" t="inlineStr">
        <is>
          <t xml:space="preserve">          Purchases - COGS</t>
        </is>
      </c>
      <c r="B27" s="11" t="n">
        <v>0.0</v>
      </c>
      <c r="C27" s="11" t="n">
        <v>0.0</v>
      </c>
      <c r="D27" s="11" t="n">
        <v>0.0</v>
      </c>
      <c r="E27" s="11" t="n">
        <v>150.12</v>
      </c>
      <c r="F27" s="11" t="n">
        <v>150.12</v>
      </c>
    </row>
    <row r="28">
      <c r="A28" s="7" t="inlineStr">
        <is>
          <t xml:space="preserve">          Shipping, Freight - COGS -Inbound</t>
        </is>
      </c>
      <c r="B28" s="11" t="n">
        <v>82544.04</v>
      </c>
      <c r="C28" s="11" t="n">
        <v>37113.67</v>
      </c>
      <c r="D28" s="11" t="n">
        <v>82952.94</v>
      </c>
      <c r="E28" s="11" t="n">
        <v>18401.08</v>
      </c>
      <c r="F28" s="11" t="n">
        <v>18401.08</v>
      </c>
    </row>
    <row r="29">
      <c r="A29" s="7" t="inlineStr">
        <is>
          <t xml:space="preserve">          Shipping, Freight - US Warehouse Outbound</t>
        </is>
      </c>
      <c r="B29" s="11" t="n">
        <v>1087.85</v>
      </c>
      <c r="C29" s="11" t="n">
        <v>0.0</v>
      </c>
      <c r="D29" s="11" t="n">
        <v>1117.09</v>
      </c>
      <c r="E29" s="11" t="n">
        <v>11008.92</v>
      </c>
      <c r="F29" s="11" t="n">
        <v>11008.92</v>
      </c>
    </row>
    <row r="30">
      <c r="A30" s="7" t="inlineStr">
        <is>
          <t xml:space="preserve">          Shipping, Freight -Costco</t>
        </is>
      </c>
      <c r="B30" s="11" t="n">
        <v>31793.21</v>
      </c>
      <c r="C30" s="11" t="n">
        <v>39719.64</v>
      </c>
      <c r="D30" s="11" t="n">
        <v>58973.48</v>
      </c>
      <c r="E30" s="11" t="n">
        <v>10471.27</v>
      </c>
      <c r="F30" s="11" t="n">
        <v>10471.27</v>
      </c>
    </row>
    <row r="31">
      <c r="A31" s="7" t="inlineStr">
        <is>
          <t xml:space="preserve">          Subcontractors - COGS</t>
        </is>
      </c>
      <c r="B31" s="11" t="n">
        <v>0.0</v>
      </c>
      <c r="C31" s="11" t="n">
        <v>189.51</v>
      </c>
      <c r="D31" s="11" t="n">
        <v>0.0</v>
      </c>
      <c r="E31" s="11" t="n">
        <v>3527.95</v>
      </c>
      <c r="F31" s="11" t="n">
        <v>3527.95</v>
      </c>
    </row>
    <row r="32">
      <c r="A32" s="26" t="inlineStr">
        <is>
          <t>Total for Cost of Goods Sold</t>
        </is>
      </c>
      <c r="B32" s="5" t="n">
        <f>(+(B19)+(B20)+(B21)+(B22)+(B23)+(B24)+(B25)+(B26)+(B27)+(B28)+(B29)+(B30)+(B31))</f>
        <v>0.0</v>
      </c>
      <c r="C32" s="5" t="n">
        <f>(+(C19)+(C20)+(C21)+(C22)+(C23)+(C24)+(C25)+(C26)+(C27)+(C28)+(C29)+(C30)+(C31))</f>
        <v>0.0</v>
      </c>
      <c r="D32" s="5" t="n">
        <f>(+(D19)+(D20)+(D21)+(D22)+(D23)+(D24)+(D25)+(D26)+(D27)+(D28)+(D29)+(D30)+(D31))</f>
        <v>0.0</v>
      </c>
      <c r="E32" s="5" t="n">
        <f>(+(E19)+(E20)+(E21)+(E22)+(E23)+(E24)+(E25)+(E26)+(E27)+(E28)+(E29)+(E30)+(E31))</f>
        <v>0.0</v>
      </c>
      <c r="F32" s="5" t="n">
        <f>(+(F19)+(F20)+(F21)+(F22)+(F23)+(F24)+(F25)+(F26)+(F27)+(F28)+(F29)+(F30)+(F31))</f>
        <v>0.0</v>
      </c>
    </row>
    <row r="34">
      <c r="A34" s="5" t="inlineStr">
        <is>
          <t>Gross Profit</t>
        </is>
      </c>
      <c r="B34" s="5" t="n">
        <f>((+(B6)+(B7)+(B8)+(B9)+(B10)+(B11)+(B12)+(B13)+(B14)+(B15))-(+(B19)+(B20)+(B21)+(B22)+(B23)+(B24)+(B25)+(B26)+(B27)+(B28)+(B29)+(B30)+(B31)))</f>
        <v>0.0</v>
      </c>
      <c r="C34" s="5" t="n">
        <f>((+(C6)+(C7)+(C8)+(C9)+(C10)+(C11)+(C12)+(C13)+(C14)+(C15))-(+(C19)+(C20)+(C21)+(C22)+(C23)+(C24)+(C25)+(C26)+(C27)+(C28)+(C29)+(C30)+(C31)))</f>
        <v>0.0</v>
      </c>
      <c r="D34" s="5" t="n">
        <f>((+(D6)+(D7)+(D8)+(D9)+(D10)+(D11)+(D12)+(D13)+(D14)+(D15))-(+(D19)+(D20)+(D21)+(D22)+(D23)+(D24)+(D25)+(D26)+(D27)+(D28)+(D29)+(D30)+(D31)))</f>
        <v>0.0</v>
      </c>
      <c r="E34" s="5" t="n">
        <f>((+(E6)+(E7)+(E8)+(E9)+(E10)+(E11)+(E12)+(E13)+(E14)+(E15))-(+(E19)+(E20)+(E21)+(E22)+(E23)+(E24)+(E25)+(E26)+(E27)+(E28)+(E29)+(E30)+(E31)))</f>
        <v>0.0</v>
      </c>
      <c r="F34" s="5" t="n">
        <f>((+(F6)+(F7)+(F8)+(F9)+(F10)+(F11)+(F12)+(F13)+(F14)+(F15))-(+(F19)+(F20)+(F21)+(F22)+(F23)+(F24)+(F25)+(F26)+(F27)+(F28)+(F29)+(F30)+(F31)))</f>
        <v>0.0</v>
      </c>
    </row>
    <row r="36">
      <c r="A36" s="7" t="inlineStr">
        <is>
          <t>Operating Expense</t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</row>
    <row r="37">
      <c r="A37" s="7" t="inlineStr">
        <is>
          <t xml:space="preserve">          Advertising</t>
        </is>
      </c>
      <c r="B37" s="11" t="n">
        <v>164485.41</v>
      </c>
      <c r="C37" s="11" t="n">
        <v>221254.03</v>
      </c>
      <c r="D37" s="11" t="n">
        <v>161032.63</v>
      </c>
      <c r="E37" s="11" t="n">
        <v>236792.63</v>
      </c>
      <c r="F37" s="11" t="n">
        <v>236792.63</v>
      </c>
    </row>
    <row r="38">
      <c r="A38" s="7" t="inlineStr">
        <is>
          <t xml:space="preserve">          Amazon Fee charges</t>
        </is>
      </c>
      <c r="B38" s="11" t="n">
        <v>674.8</v>
      </c>
      <c r="C38" s="11" t="n">
        <v>61.6</v>
      </c>
      <c r="D38" s="11" t="n">
        <v>0.0</v>
      </c>
      <c r="E38" s="11" t="n">
        <v>0.0</v>
      </c>
      <c r="F38" s="11" t="n">
        <v>0.0</v>
      </c>
    </row>
    <row r="39">
      <c r="A39" s="7" t="inlineStr">
        <is>
          <t xml:space="preserve">          Bank charges</t>
        </is>
      </c>
      <c r="B39" s="11" t="n">
        <v>2402.29</v>
      </c>
      <c r="C39" s="11" t="n">
        <v>4706.01</v>
      </c>
      <c r="D39" s="11" t="n">
        <v>7424.38</v>
      </c>
      <c r="E39" s="11" t="n">
        <v>2895.78</v>
      </c>
      <c r="F39" s="11" t="n">
        <v>2895.78</v>
      </c>
    </row>
    <row r="40">
      <c r="A40" s="7" t="inlineStr">
        <is>
          <t xml:space="preserve">          Card Fee</t>
        </is>
      </c>
      <c r="B40" s="11" t="n">
        <v>5383.65</v>
      </c>
      <c r="C40" s="11" t="n">
        <v>9126.71</v>
      </c>
      <c r="D40" s="11" t="n">
        <v>7380.05</v>
      </c>
      <c r="E40" s="11" t="n">
        <v>6872.37</v>
      </c>
      <c r="F40" s="11" t="n">
        <v>6872.37</v>
      </c>
    </row>
    <row r="41">
      <c r="A41" s="7" t="inlineStr">
        <is>
          <t xml:space="preserve">          Commissions and fees</t>
        </is>
      </c>
      <c r="B41" s="11" t="n">
        <v>49529.71</v>
      </c>
      <c r="C41" s="11" t="n">
        <v>34729.97</v>
      </c>
      <c r="D41" s="11" t="n">
        <v>39222.57</v>
      </c>
      <c r="E41" s="11" t="n">
        <v>54406.55</v>
      </c>
      <c r="F41" s="11" t="n">
        <v>54406.55</v>
      </c>
    </row>
    <row r="42">
      <c r="A42" s="7" t="inlineStr">
        <is>
          <t xml:space="preserve">          Dues and Subscriptions</t>
        </is>
      </c>
      <c r="B42" s="11" t="n">
        <v>11111.47</v>
      </c>
      <c r="C42" s="11" t="n">
        <v>22425.39</v>
      </c>
      <c r="D42" s="11" t="n">
        <v>21221.64</v>
      </c>
      <c r="E42" s="11" t="n">
        <v>30707.85</v>
      </c>
      <c r="F42" s="11" t="n">
        <v>30707.85</v>
      </c>
    </row>
    <row r="43">
      <c r="A43" s="7" t="inlineStr">
        <is>
          <t xml:space="preserve">          EHT Expense</t>
        </is>
      </c>
      <c r="B43" s="11" t="n">
        <v>0.0</v>
      </c>
      <c r="C43" s="11" t="n">
        <v>0.0</v>
      </c>
      <c r="D43" s="11" t="n">
        <v>868.84</v>
      </c>
      <c r="E43" s="11" t="n">
        <v>8603.85</v>
      </c>
      <c r="F43" s="11" t="n">
        <v>8603.85</v>
      </c>
    </row>
    <row r="44">
      <c r="A44" s="7" t="inlineStr">
        <is>
          <t xml:space="preserve">          Exchange Gain or Loss</t>
        </is>
      </c>
      <c r="B44" s="11" t="n">
        <v>11024.01</v>
      </c>
      <c r="C44" s="11" t="n">
        <v>-3830.73</v>
      </c>
      <c r="D44" s="11" t="n">
        <v>2806.98</v>
      </c>
      <c r="E44" s="11" t="n">
        <v>872.07</v>
      </c>
      <c r="F44" s="11" t="n">
        <v>872.07</v>
      </c>
    </row>
    <row r="45">
      <c r="A45" s="7" t="inlineStr">
        <is>
          <t xml:space="preserve">          Insurance</t>
        </is>
      </c>
      <c r="B45" s="11" t="n">
        <v>3975.75</v>
      </c>
      <c r="C45" s="11" t="n">
        <v>3603.35</v>
      </c>
      <c r="D45" s="11" t="n">
        <v>3642.8</v>
      </c>
      <c r="E45" s="11" t="n">
        <v>3653.16</v>
      </c>
      <c r="F45" s="11" t="n">
        <v>3653.16</v>
      </c>
    </row>
    <row r="46">
      <c r="A46" s="7" t="inlineStr">
        <is>
          <t xml:space="preserve">          Insurance - Disability</t>
        </is>
      </c>
      <c r="B46" s="11" t="n">
        <v>7632.28</v>
      </c>
      <c r="C46" s="11" t="n">
        <v>11607.48</v>
      </c>
      <c r="D46" s="11" t="n">
        <v>6273.87</v>
      </c>
      <c r="E46" s="11" t="n">
        <v>8716.38</v>
      </c>
      <c r="F46" s="11" t="n">
        <v>8716.38</v>
      </c>
    </row>
    <row r="47">
      <c r="A47" s="7" t="inlineStr">
        <is>
          <t xml:space="preserve">          Insurance - Liability</t>
        </is>
      </c>
      <c r="B47" s="11" t="n">
        <v>57001.47</v>
      </c>
      <c r="C47" s="11" t="n">
        <v>50513.59</v>
      </c>
      <c r="D47" s="11" t="n">
        <v>39939.2</v>
      </c>
      <c r="E47" s="11" t="n">
        <v>51419.72</v>
      </c>
      <c r="F47" s="11" t="n">
        <v>51419.72</v>
      </c>
    </row>
    <row r="48">
      <c r="A48" s="7" t="inlineStr">
        <is>
          <t xml:space="preserve">          Interest expense</t>
        </is>
      </c>
      <c r="B48" s="11" t="n">
        <v>174969.72</v>
      </c>
      <c r="C48" s="11" t="n">
        <v>119675.54</v>
      </c>
      <c r="D48" s="11" t="n">
        <v>101112.79</v>
      </c>
      <c r="E48" s="11" t="n">
        <v>76493.77</v>
      </c>
      <c r="F48" s="11" t="n">
        <v>76493.77</v>
      </c>
    </row>
    <row r="49">
      <c r="A49" s="7" t="inlineStr">
        <is>
          <t xml:space="preserve">          Job Materials</t>
        </is>
      </c>
      <c r="B49" s="11" t="n">
        <v>7874.17</v>
      </c>
      <c r="C49" s="11" t="n">
        <v>14446.46</v>
      </c>
      <c r="D49" s="11" t="n">
        <v>8860.24</v>
      </c>
      <c r="E49" s="11" t="n">
        <v>4528.65</v>
      </c>
      <c r="F49" s="11" t="n">
        <v>4528.65</v>
      </c>
    </row>
    <row r="50">
      <c r="A50" s="7" t="inlineStr">
        <is>
          <t xml:space="preserve">          Legal and professional fees</t>
        </is>
      </c>
      <c r="B50" s="11" t="n">
        <v>51483.53</v>
      </c>
      <c r="C50" s="11" t="n">
        <v>13748.85</v>
      </c>
      <c r="D50" s="11" t="n">
        <v>21274.34</v>
      </c>
      <c r="E50" s="11" t="n">
        <v>20830.0</v>
      </c>
      <c r="F50" s="11" t="n">
        <v>20830.0</v>
      </c>
    </row>
    <row r="51">
      <c r="A51" s="7" t="inlineStr">
        <is>
          <t xml:space="preserve">          MDG Fee</t>
        </is>
      </c>
      <c r="B51" s="11" t="n">
        <v>275.52</v>
      </c>
      <c r="C51" s="11" t="n">
        <v>0.0</v>
      </c>
      <c r="D51" s="11" t="n">
        <v>0.0</v>
      </c>
      <c r="E51" s="11" t="n">
        <v>0.0</v>
      </c>
      <c r="F51" s="11" t="n">
        <v>0.0</v>
      </c>
    </row>
    <row r="52">
      <c r="A52" s="7" t="inlineStr">
        <is>
          <t xml:space="preserve">          Meals and entertainment</t>
        </is>
      </c>
      <c r="B52" s="11" t="n">
        <v>1583.29</v>
      </c>
      <c r="C52" s="11" t="n">
        <v>1068.95</v>
      </c>
      <c r="D52" s="11" t="n">
        <v>481.54</v>
      </c>
      <c r="E52" s="11" t="n">
        <v>790.64</v>
      </c>
      <c r="F52" s="11" t="n">
        <v>790.64</v>
      </c>
    </row>
    <row r="53">
      <c r="A53" s="7" t="inlineStr">
        <is>
          <t xml:space="preserve">          Office Expense</t>
        </is>
      </c>
      <c r="B53" s="11" t="n">
        <v>768.64</v>
      </c>
      <c r="C53" s="11" t="n">
        <v>1321.78</v>
      </c>
      <c r="D53" s="11" t="n">
        <v>708.71</v>
      </c>
      <c r="E53" s="11" t="n">
        <v>754.03</v>
      </c>
      <c r="F53" s="11" t="n">
        <v>754.03</v>
      </c>
    </row>
    <row r="54">
      <c r="A54" s="7" t="inlineStr">
        <is>
          <t xml:space="preserve">          Other Expenses</t>
        </is>
      </c>
      <c r="B54" s="11" t="n">
        <v>0.05</v>
      </c>
      <c r="C54" s="11" t="n">
        <v>47.59</v>
      </c>
      <c r="D54" s="11" t="n">
        <v>0.55</v>
      </c>
      <c r="E54" s="11" t="n">
        <v>-30.34</v>
      </c>
      <c r="F54" s="11" t="n">
        <v>-30.34</v>
      </c>
    </row>
    <row r="55">
      <c r="A55" s="7" t="inlineStr">
        <is>
          <t xml:space="preserve">          Paypal charges</t>
        </is>
      </c>
      <c r="B55" s="11" t="n">
        <v>1572.82</v>
      </c>
      <c r="C55" s="11" t="n">
        <v>1751.92</v>
      </c>
      <c r="D55" s="11" t="n">
        <v>2125.87</v>
      </c>
      <c r="E55" s="11" t="n">
        <v>71.5</v>
      </c>
      <c r="F55" s="11" t="n">
        <v>71.5</v>
      </c>
    </row>
    <row r="56">
      <c r="A56" s="7" t="inlineStr">
        <is>
          <t xml:space="preserve">          PayPlan Fee</t>
        </is>
      </c>
      <c r="B56" s="11" t="n">
        <v>0.0</v>
      </c>
      <c r="C56" s="11" t="n">
        <v>2171.36</v>
      </c>
      <c r="D56" s="11" t="n">
        <v>4600.9</v>
      </c>
      <c r="E56" s="11" t="n">
        <v>72.3</v>
      </c>
      <c r="F56" s="11" t="n">
        <v>72.3</v>
      </c>
    </row>
    <row r="57">
      <c r="A57" s="7" t="inlineStr">
        <is>
          <t xml:space="preserve">          Payroll Expense:Taxes</t>
        </is>
      </c>
      <c r="B57" s="11" t="n">
        <v>34458.85</v>
      </c>
      <c r="C57" s="11" t="n">
        <v>57589.79</v>
      </c>
      <c r="D57" s="11" t="n">
        <v>42190.19</v>
      </c>
      <c r="E57" s="11" t="n">
        <v>43761.01</v>
      </c>
      <c r="F57" s="11" t="n">
        <v>43761.01</v>
      </c>
    </row>
    <row r="58">
      <c r="A58" s="7" t="inlineStr">
        <is>
          <t xml:space="preserve">          Payroll Expense:Wages</t>
        </is>
      </c>
      <c r="B58" s="11" t="n">
        <v>590598.5</v>
      </c>
      <c r="C58" s="11" t="n">
        <v>651005.68</v>
      </c>
      <c r="D58" s="11" t="n">
        <v>466917.61</v>
      </c>
      <c r="E58" s="11" t="n">
        <v>563884.75</v>
      </c>
      <c r="F58" s="11" t="n">
        <v>563884.75</v>
      </c>
    </row>
    <row r="59">
      <c r="A59" s="7" t="inlineStr">
        <is>
          <t xml:space="preserve">          Payroll-IRAP -WSBC - BCTech -ECO Wages Reimbursement</t>
        </is>
      </c>
      <c r="B59" s="11" t="n">
        <v>-15697.14</v>
      </c>
      <c r="C59" s="11" t="n">
        <v>-11686.47</v>
      </c>
      <c r="D59" s="11" t="n">
        <v>-2500.0</v>
      </c>
      <c r="E59" s="11" t="n">
        <v>-8671.93</v>
      </c>
      <c r="F59" s="11" t="n">
        <v>-8671.93</v>
      </c>
    </row>
    <row r="60">
      <c r="A60" s="7" t="inlineStr">
        <is>
          <t xml:space="preserve">          Payroll-IRAP Wages Reimbursement</t>
        </is>
      </c>
      <c r="B60" s="11" t="n">
        <v>-24667.73</v>
      </c>
      <c r="C60" s="11" t="n">
        <v>0.0</v>
      </c>
      <c r="D60" s="11" t="n">
        <v>-13474.21</v>
      </c>
      <c r="E60" s="11" t="n">
        <v>-123468.42</v>
      </c>
      <c r="F60" s="11" t="n">
        <v>-123468.42</v>
      </c>
    </row>
    <row r="61">
      <c r="A61" s="7" t="inlineStr">
        <is>
          <t xml:space="preserve">          Purchase Discounts</t>
        </is>
      </c>
      <c r="B61" s="11" t="n">
        <v>0.0</v>
      </c>
      <c r="C61" s="11" t="n">
        <v>0.0</v>
      </c>
      <c r="D61" s="11" t="n">
        <v>0.0</v>
      </c>
      <c r="E61" s="11" t="n">
        <v>-25.39</v>
      </c>
      <c r="F61" s="11" t="n">
        <v>-25.39</v>
      </c>
    </row>
    <row r="62">
      <c r="A62" s="7" t="inlineStr">
        <is>
          <t xml:space="preserve">          Repair and maintenance</t>
        </is>
      </c>
      <c r="B62" s="11" t="n">
        <v>6821.56</v>
      </c>
      <c r="C62" s="11" t="n">
        <v>3435.66</v>
      </c>
      <c r="D62" s="11" t="n">
        <v>5471.52</v>
      </c>
      <c r="E62" s="11" t="n">
        <v>3427.33</v>
      </c>
      <c r="F62" s="11" t="n">
        <v>3427.33</v>
      </c>
    </row>
    <row r="63">
      <c r="A63" s="7" t="inlineStr">
        <is>
          <t xml:space="preserve">          Repairs and Maintenance</t>
        </is>
      </c>
      <c r="B63" s="11" t="n">
        <v>0.0</v>
      </c>
      <c r="C63" s="11" t="n">
        <v>0.0</v>
      </c>
      <c r="D63" s="11" t="n">
        <v>680.0</v>
      </c>
      <c r="E63" s="11" t="n">
        <v>0.0</v>
      </c>
      <c r="F63" s="11" t="n">
        <v>0.0</v>
      </c>
    </row>
    <row r="64">
      <c r="A64" s="7" t="inlineStr">
        <is>
          <t xml:space="preserve">          Shipearly Fee</t>
        </is>
      </c>
      <c r="B64" s="11" t="n">
        <v>167.33</v>
      </c>
      <c r="C64" s="11" t="n">
        <v>5564.71</v>
      </c>
      <c r="D64" s="11" t="n">
        <v>500.0</v>
      </c>
      <c r="E64" s="11" t="n">
        <v>0.0</v>
      </c>
      <c r="F64" s="11" t="n">
        <v>0.0</v>
      </c>
    </row>
    <row r="65">
      <c r="A65" s="7" t="inlineStr">
        <is>
          <t xml:space="preserve">          Shipping and delivery expense</t>
        </is>
      </c>
      <c r="B65" s="11" t="n">
        <v>0.0</v>
      </c>
      <c r="C65" s="11" t="n">
        <v>3550.0</v>
      </c>
      <c r="D65" s="11" t="n">
        <v>2653.75</v>
      </c>
      <c r="E65" s="11" t="n">
        <v>0.0</v>
      </c>
      <c r="F65" s="11" t="n">
        <v>0.0</v>
      </c>
    </row>
    <row r="66">
      <c r="A66" s="7" t="inlineStr">
        <is>
          <t xml:space="preserve">          Shopify Fee</t>
        </is>
      </c>
      <c r="B66" s="11" t="n">
        <v>8199.74</v>
      </c>
      <c r="C66" s="11" t="n">
        <v>7898.71</v>
      </c>
      <c r="D66" s="11" t="n">
        <v>33749.11</v>
      </c>
      <c r="E66" s="11" t="n">
        <v>53487.06</v>
      </c>
      <c r="F66" s="11" t="n">
        <v>53487.06</v>
      </c>
    </row>
    <row r="67">
      <c r="A67" s="7" t="inlineStr">
        <is>
          <t xml:space="preserve">          Storage &amp; Store Rent payments</t>
        </is>
      </c>
      <c r="B67" s="11" t="n">
        <v>232203.83</v>
      </c>
      <c r="C67" s="11" t="n">
        <v>237739.89</v>
      </c>
      <c r="D67" s="11" t="n">
        <v>167574.58</v>
      </c>
      <c r="E67" s="11" t="n">
        <v>142912.81</v>
      </c>
      <c r="F67" s="11" t="n">
        <v>142912.81</v>
      </c>
    </row>
    <row r="68">
      <c r="A68" s="7" t="inlineStr">
        <is>
          <t xml:space="preserve">          Stripe Fees</t>
        </is>
      </c>
      <c r="B68" s="11" t="n">
        <v>22063.29</v>
      </c>
      <c r="C68" s="11" t="n">
        <v>24964.76</v>
      </c>
      <c r="D68" s="11" t="n">
        <v>5974.14</v>
      </c>
      <c r="E68" s="11" t="n">
        <v>6762.98</v>
      </c>
      <c r="F68" s="11" t="n">
        <v>6762.98</v>
      </c>
    </row>
    <row r="69">
      <c r="A69" s="7" t="inlineStr">
        <is>
          <t xml:space="preserve">          Stripe Fees  US $</t>
        </is>
      </c>
      <c r="B69" s="11" t="n">
        <v>243.96</v>
      </c>
      <c r="C69" s="11" t="n">
        <v>0.0</v>
      </c>
      <c r="D69" s="11" t="n">
        <v>0.0</v>
      </c>
      <c r="E69" s="11" t="n">
        <v>0.0</v>
      </c>
      <c r="F69" s="11" t="n">
        <v>0.0</v>
      </c>
    </row>
    <row r="70">
      <c r="A70" s="7" t="inlineStr">
        <is>
          <t xml:space="preserve">          Subcontractors</t>
        </is>
      </c>
      <c r="B70" s="11" t="n">
        <v>2141.47</v>
      </c>
      <c r="C70" s="11" t="n">
        <v>0.0</v>
      </c>
      <c r="D70" s="11" t="n">
        <v>4189.5</v>
      </c>
      <c r="E70" s="11" t="n">
        <v>20506.59</v>
      </c>
      <c r="F70" s="11" t="n">
        <v>20506.59</v>
      </c>
    </row>
    <row r="71">
      <c r="A71" s="7" t="inlineStr">
        <is>
          <t xml:space="preserve">          Tax Paid Expense</t>
        </is>
      </c>
      <c r="B71" s="11" t="n">
        <v>4865.06</v>
      </c>
      <c r="C71" s="11" t="n">
        <v>3542.26</v>
      </c>
      <c r="D71" s="11" t="n">
        <v>2702.21</v>
      </c>
      <c r="E71" s="11" t="n">
        <v>3157.04</v>
      </c>
      <c r="F71" s="11" t="n">
        <v>3157.04</v>
      </c>
    </row>
    <row r="72">
      <c r="A72" s="7" t="inlineStr">
        <is>
          <t xml:space="preserve">          Travel</t>
        </is>
      </c>
      <c r="B72" s="11" t="n">
        <v>2334.9</v>
      </c>
      <c r="C72" s="11" t="n">
        <v>638.37</v>
      </c>
      <c r="D72" s="11" t="n">
        <v>546.34</v>
      </c>
      <c r="E72" s="11" t="n">
        <v>2.5</v>
      </c>
      <c r="F72" s="11" t="n">
        <v>2.5</v>
      </c>
    </row>
    <row r="73">
      <c r="A73" s="7" t="inlineStr">
        <is>
          <t xml:space="preserve">          Travel for Event</t>
        </is>
      </c>
      <c r="B73" s="11" t="n">
        <v>0.0</v>
      </c>
      <c r="C73" s="11" t="n">
        <v>18878.95</v>
      </c>
      <c r="D73" s="11" t="n">
        <v>1047.55</v>
      </c>
      <c r="E73" s="11" t="n">
        <v>4556.64</v>
      </c>
      <c r="F73" s="11" t="n">
        <v>4556.64</v>
      </c>
    </row>
    <row r="74">
      <c r="A74" s="7" t="inlineStr">
        <is>
          <t xml:space="preserve">          Travel meals</t>
        </is>
      </c>
      <c r="B74" s="11" t="n">
        <v>0.0</v>
      </c>
      <c r="C74" s="11" t="n">
        <v>3415.15</v>
      </c>
      <c r="D74" s="11" t="n">
        <v>303.75</v>
      </c>
      <c r="E74" s="11" t="n">
        <v>213.12</v>
      </c>
      <c r="F74" s="11" t="n">
        <v>213.12</v>
      </c>
    </row>
    <row r="75">
      <c r="A75" s="7" t="inlineStr">
        <is>
          <t xml:space="preserve">          Utilities</t>
        </is>
      </c>
      <c r="B75" s="11" t="n">
        <v>16199.15</v>
      </c>
      <c r="C75" s="11" t="n">
        <v>13311.66</v>
      </c>
      <c r="D75" s="11" t="n">
        <v>9648.95</v>
      </c>
      <c r="E75" s="11" t="n">
        <v>7611.43</v>
      </c>
      <c r="F75" s="11" t="n">
        <v>7611.43</v>
      </c>
    </row>
    <row r="76">
      <c r="A76" s="7" t="inlineStr">
        <is>
          <t xml:space="preserve">          Work Safe BC Expense</t>
        </is>
      </c>
      <c r="B76" s="11" t="n">
        <v>4399.52</v>
      </c>
      <c r="C76" s="11" t="n">
        <v>3099.48</v>
      </c>
      <c r="D76" s="11" t="n">
        <v>2024.68</v>
      </c>
      <c r="E76" s="11" t="n">
        <v>4623.84</v>
      </c>
      <c r="F76" s="11" t="n">
        <v>4623.84</v>
      </c>
    </row>
    <row r="77">
      <c r="A77" s="26" t="inlineStr">
        <is>
          <t>Total for Operating Expense</t>
        </is>
      </c>
      <c r="B77" s="5" t="n">
        <f>(+(B37)+(B38)+(B39)+(B40)+(B41)+(B42)+(B43)+(B44)+(B45)+(B46)+(B47)+(B48)+(B49)+(B50)+(B51)+(B52)+(B53)+(B54)+(B55)+(B56)+(B57)+(B58)+(B59)+(B60)+(B61)+(B62)+(B63)+(B64)+(B65)+(B66)+(B67)+(B68)+(B69)+(B70)+(B71)+(B72)+(B73)+(B74)+(B75)+(B76))</f>
        <v>0.0</v>
      </c>
      <c r="C77" s="5" t="n">
        <f>(+(C37)+(C38)+(C39)+(C40)+(C41)+(C42)+(C43)+(C44)+(C45)+(C46)+(C47)+(C48)+(C49)+(C50)+(C51)+(C52)+(C53)+(C54)+(C55)+(C56)+(C57)+(C58)+(C59)+(C60)+(C61)+(C62)+(C63)+(C64)+(C65)+(C66)+(C67)+(C68)+(C69)+(C70)+(C71)+(C72)+(C73)+(C74)+(C75)+(C76))</f>
        <v>0.0</v>
      </c>
      <c r="D77" s="5" t="n">
        <f>(+(D37)+(D38)+(D39)+(D40)+(D41)+(D42)+(D43)+(D44)+(D45)+(D46)+(D47)+(D48)+(D49)+(D50)+(D51)+(D52)+(D53)+(D54)+(D55)+(D56)+(D57)+(D58)+(D59)+(D60)+(D61)+(D62)+(D63)+(D64)+(D65)+(D66)+(D67)+(D68)+(D69)+(D70)+(D71)+(D72)+(D73)+(D74)+(D75)+(D76))</f>
        <v>0.0</v>
      </c>
      <c r="E77" s="5" t="n">
        <f>(+(E37)+(E38)+(E39)+(E40)+(E41)+(E42)+(E43)+(E44)+(E45)+(E46)+(E47)+(E48)+(E49)+(E50)+(E51)+(E52)+(E53)+(E54)+(E55)+(E56)+(E57)+(E58)+(E59)+(E60)+(E61)+(E62)+(E63)+(E64)+(E65)+(E66)+(E67)+(E68)+(E69)+(E70)+(E71)+(E72)+(E73)+(E74)+(E75)+(E76))</f>
        <v>0.0</v>
      </c>
      <c r="F77" s="5" t="n">
        <f>(+(F37)+(F38)+(F39)+(F40)+(F41)+(F42)+(F43)+(F44)+(F45)+(F46)+(F47)+(F48)+(F49)+(F50)+(F51)+(F52)+(F53)+(F54)+(F55)+(F56)+(F57)+(F58)+(F59)+(F60)+(F61)+(F62)+(F63)+(F64)+(F65)+(F66)+(F67)+(F68)+(F69)+(F70)+(F71)+(F72)+(F73)+(F74)+(F75)+(F76))</f>
        <v>0.0</v>
      </c>
    </row>
    <row r="79">
      <c r="A79" s="5" t="inlineStr">
        <is>
          <t>Operating Profit</t>
        </is>
      </c>
      <c r="B79" s="5" t="n">
        <f>(((+(B6)+(B7)+(B8)+(B9)+(B10)+(B11)+(B12)+(B13)+(B14)+(B15))-(+(B19)+(B20)+(B21)+(B22)+(B23)+(B24)+(B25)+(B26)+(B27)+(B28)+(B29)+(B30)+(B31)))-(+(B37)+(B38)+(B39)+(B40)+(B41)+(B42)+(B43)+(B44)+(B45)+(B46)+(B47)+(B48)+(B49)+(B50)+(B51)+(B52)+(B53)+(B54)+(B55)+(B56)+(B57)+(B58)+(B59)+(B60)+(B61)+(B62)+(B63)+(B64)+(B65)+(B66)+(B67)+(B68)+(B69)+(B70)+(B71)+(B72)+(B73)+(B74)+(B75)+(B76)))</f>
        <v>0.0</v>
      </c>
      <c r="C79" s="5" t="n">
        <f>(((+(C6)+(C7)+(C8)+(C9)+(C10)+(C11)+(C12)+(C13)+(C14)+(C15))-(+(C19)+(C20)+(C21)+(C22)+(C23)+(C24)+(C25)+(C26)+(C27)+(C28)+(C29)+(C30)+(C31)))-(+(C37)+(C38)+(C39)+(C40)+(C41)+(C42)+(C43)+(C44)+(C45)+(C46)+(C47)+(C48)+(C49)+(C50)+(C51)+(C52)+(C53)+(C54)+(C55)+(C56)+(C57)+(C58)+(C59)+(C60)+(C61)+(C62)+(C63)+(C64)+(C65)+(C66)+(C67)+(C68)+(C69)+(C70)+(C71)+(C72)+(C73)+(C74)+(C75)+(C76)))</f>
        <v>0.0</v>
      </c>
      <c r="D79" s="5" t="n">
        <f>(((+(D6)+(D7)+(D8)+(D9)+(D10)+(D11)+(D12)+(D13)+(D14)+(D15))-(+(D19)+(D20)+(D21)+(D22)+(D23)+(D24)+(D25)+(D26)+(D27)+(D28)+(D29)+(D30)+(D31)))-(+(D37)+(D38)+(D39)+(D40)+(D41)+(D42)+(D43)+(D44)+(D45)+(D46)+(D47)+(D48)+(D49)+(D50)+(D51)+(D52)+(D53)+(D54)+(D55)+(D56)+(D57)+(D58)+(D59)+(D60)+(D61)+(D62)+(D63)+(D64)+(D65)+(D66)+(D67)+(D68)+(D69)+(D70)+(D71)+(D72)+(D73)+(D74)+(D75)+(D76)))</f>
        <v>0.0</v>
      </c>
      <c r="E79" s="5" t="n">
        <f>(((+(E6)+(E7)+(E8)+(E9)+(E10)+(E11)+(E12)+(E13)+(E14)+(E15))-(+(E19)+(E20)+(E21)+(E22)+(E23)+(E24)+(E25)+(E26)+(E27)+(E28)+(E29)+(E30)+(E31)))-(+(E37)+(E38)+(E39)+(E40)+(E41)+(E42)+(E43)+(E44)+(E45)+(E46)+(E47)+(E48)+(E49)+(E50)+(E51)+(E52)+(E53)+(E54)+(E55)+(E56)+(E57)+(E58)+(E59)+(E60)+(E61)+(E62)+(E63)+(E64)+(E65)+(E66)+(E67)+(E68)+(E69)+(E70)+(E71)+(E72)+(E73)+(E74)+(E75)+(E76)))</f>
        <v>0.0</v>
      </c>
      <c r="F79" s="5" t="n">
        <f>(((+(F6)+(F7)+(F8)+(F9)+(F10)+(F11)+(F12)+(F13)+(F14)+(F15))-(+(F19)+(F20)+(F21)+(F22)+(F23)+(F24)+(F25)+(F26)+(F27)+(F28)+(F29)+(F30)+(F31)))-(+(F37)+(F38)+(F39)+(F40)+(F41)+(F42)+(F43)+(F44)+(F45)+(F46)+(F47)+(F48)+(F49)+(F50)+(F51)+(F52)+(F53)+(F54)+(F55)+(F56)+(F57)+(F58)+(F59)+(F60)+(F61)+(F62)+(F63)+(F64)+(F65)+(F66)+(F67)+(F68)+(F69)+(F70)+(F71)+(F72)+(F73)+(F74)+(F75)+(F76)))</f>
        <v>0.0</v>
      </c>
    </row>
    <row r="81">
      <c r="A81" s="7" t="inlineStr">
        <is>
          <t>Non Operating Income</t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</row>
    <row r="82">
      <c r="A82" s="7" t="inlineStr">
        <is>
          <t xml:space="preserve">          BC Eco Fees Collected</t>
        </is>
      </c>
      <c r="B82" s="11" t="n">
        <v>1597.35</v>
      </c>
      <c r="C82" s="11" t="n">
        <v>1621.24</v>
      </c>
      <c r="D82" s="11" t="n">
        <v>875.6</v>
      </c>
      <c r="E82" s="11" t="n">
        <v>3064.6</v>
      </c>
      <c r="F82" s="11" t="n">
        <v>3064.6</v>
      </c>
    </row>
    <row r="83">
      <c r="A83" s="7" t="inlineStr">
        <is>
          <t xml:space="preserve">          Other Ordinary Income</t>
        </is>
      </c>
      <c r="B83" s="11" t="n">
        <v>0.0</v>
      </c>
      <c r="C83" s="11" t="n">
        <v>0.0</v>
      </c>
      <c r="D83" s="11" t="n">
        <v>0.0</v>
      </c>
      <c r="E83" s="11" t="n">
        <v>792.0</v>
      </c>
      <c r="F83" s="11" t="n">
        <v>792.0</v>
      </c>
    </row>
    <row r="84">
      <c r="A84" s="26" t="inlineStr">
        <is>
          <t>Total for Non Operating Income</t>
        </is>
      </c>
      <c r="B84" s="5" t="n">
        <f>(+(B82)+(B83))</f>
        <v>0.0</v>
      </c>
      <c r="C84" s="5" t="n">
        <f>(+(C82)+(C83))</f>
        <v>0.0</v>
      </c>
      <c r="D84" s="5" t="n">
        <f>(+(D82)+(D83))</f>
        <v>0.0</v>
      </c>
      <c r="E84" s="5" t="n">
        <f>(+(E82)+(E83))</f>
        <v>0.0</v>
      </c>
      <c r="F84" s="5" t="n">
        <f>(+(F82)+(F83))</f>
        <v>0.0</v>
      </c>
    </row>
    <row r="86">
      <c r="A86" s="7" t="inlineStr">
        <is>
          <t>Non Operating Expense</t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</row>
    <row r="87">
      <c r="A87" s="7" t="inlineStr">
        <is>
          <t xml:space="preserve">          CanExport</t>
        </is>
      </c>
      <c r="B87" s="11" t="n">
        <v>7000.0</v>
      </c>
      <c r="C87" s="11" t="n">
        <v>21000.0</v>
      </c>
      <c r="D87" s="11" t="n">
        <v>21000.0</v>
      </c>
      <c r="E87" s="11" t="n">
        <v>33000.0</v>
      </c>
      <c r="F87" s="11" t="n">
        <v>33000.0</v>
      </c>
    </row>
    <row r="88">
      <c r="A88" s="7" t="inlineStr">
        <is>
          <t xml:space="preserve">          Education and Training</t>
        </is>
      </c>
      <c r="B88" s="11" t="n">
        <v>0.0</v>
      </c>
      <c r="C88" s="11" t="n">
        <v>659.0</v>
      </c>
      <c r="D88" s="11" t="n">
        <v>0.0</v>
      </c>
      <c r="E88" s="11" t="n">
        <v>0.0</v>
      </c>
      <c r="F88" s="11" t="n">
        <v>0.0</v>
      </c>
    </row>
    <row r="89">
      <c r="A89" s="7" t="inlineStr">
        <is>
          <t xml:space="preserve">          Exchange</t>
        </is>
      </c>
      <c r="B89" s="11" t="n">
        <v>645.39</v>
      </c>
      <c r="C89" s="11" t="n">
        <v>-1190.17</v>
      </c>
      <c r="D89" s="11" t="n">
        <v>64254.11</v>
      </c>
      <c r="E89" s="11" t="n">
        <v>-5478.32</v>
      </c>
      <c r="F89" s="11" t="n">
        <v>-5478.32</v>
      </c>
    </row>
    <row r="90">
      <c r="A90" s="7" t="inlineStr">
        <is>
          <t xml:space="preserve">          Security</t>
        </is>
      </c>
      <c r="B90" s="11" t="n">
        <v>1133.34</v>
      </c>
      <c r="C90" s="11" t="n">
        <v>1201.97</v>
      </c>
      <c r="D90" s="11" t="n">
        <v>1189.25</v>
      </c>
      <c r="E90" s="11" t="n">
        <v>936.0</v>
      </c>
      <c r="F90" s="11" t="n">
        <v>936.0</v>
      </c>
    </row>
    <row r="91">
      <c r="A91" s="7" t="inlineStr">
        <is>
          <t xml:space="preserve">          SRED - Flex UL</t>
        </is>
      </c>
      <c r="B91" s="11" t="n">
        <v>0.0</v>
      </c>
      <c r="C91" s="11" t="n">
        <v>8083.14</v>
      </c>
      <c r="D91" s="11" t="n">
        <v>0.0</v>
      </c>
      <c r="E91" s="11" t="n">
        <v>0.0</v>
      </c>
      <c r="F91" s="11" t="n">
        <v>0.0</v>
      </c>
    </row>
    <row r="92">
      <c r="A92" s="7" t="inlineStr">
        <is>
          <t xml:space="preserve">          SRED - MUCEB - MTB</t>
        </is>
      </c>
      <c r="B92" s="11" t="n">
        <v>0.0</v>
      </c>
      <c r="C92" s="11" t="n">
        <v>285.68</v>
      </c>
      <c r="D92" s="11" t="n">
        <v>0.0</v>
      </c>
      <c r="E92" s="11" t="n">
        <v>0.0</v>
      </c>
      <c r="F92" s="11" t="n">
        <v>0.0</v>
      </c>
    </row>
    <row r="93">
      <c r="A93" s="7" t="inlineStr">
        <is>
          <t xml:space="preserve">          SRED -Snow track</t>
        </is>
      </c>
      <c r="B93" s="11" t="n">
        <v>0.0</v>
      </c>
      <c r="C93" s="11" t="n">
        <v>11.43</v>
      </c>
      <c r="D93" s="11" t="n">
        <v>0.0</v>
      </c>
      <c r="E93" s="11" t="n">
        <v>0.0</v>
      </c>
      <c r="F93" s="11" t="n">
        <v>0.0</v>
      </c>
    </row>
    <row r="94">
      <c r="A94" s="7" t="inlineStr">
        <is>
          <t xml:space="preserve">          SRED- ATMP</t>
        </is>
      </c>
      <c r="B94" s="11" t="n">
        <v>8158.2</v>
      </c>
      <c r="C94" s="11" t="n">
        <v>50589.04</v>
      </c>
      <c r="D94" s="11" t="n">
        <v>-87566.84</v>
      </c>
      <c r="E94" s="11" t="n">
        <v>17758.18</v>
      </c>
      <c r="F94" s="11" t="n">
        <v>17758.18</v>
      </c>
    </row>
    <row r="95">
      <c r="A95" s="7" t="inlineStr">
        <is>
          <t xml:space="preserve">          SRED-CEBP</t>
        </is>
      </c>
      <c r="B95" s="11" t="n">
        <v>13422.81</v>
      </c>
      <c r="C95" s="11" t="n">
        <v>11027.74</v>
      </c>
      <c r="D95" s="11" t="n">
        <v>0.0</v>
      </c>
      <c r="E95" s="11" t="n">
        <v>0.0</v>
      </c>
      <c r="F95" s="11" t="n">
        <v>0.0</v>
      </c>
    </row>
    <row r="96">
      <c r="A96" s="7" t="inlineStr">
        <is>
          <t xml:space="preserve">          SRED-Hydrofoil Electric Water Mobility</t>
        </is>
      </c>
      <c r="B96" s="11" t="n">
        <v>0.0</v>
      </c>
      <c r="C96" s="11" t="n">
        <v>7500.0</v>
      </c>
      <c r="D96" s="11" t="n">
        <v>0.0</v>
      </c>
      <c r="E96" s="11" t="n">
        <v>0.0</v>
      </c>
      <c r="F96" s="11" t="n">
        <v>0.0</v>
      </c>
    </row>
    <row r="97">
      <c r="A97" s="7" t="inlineStr">
        <is>
          <t xml:space="preserve">          SRED-VEEMO</t>
        </is>
      </c>
      <c r="B97" s="11" t="n">
        <v>0.0</v>
      </c>
      <c r="C97" s="11" t="n">
        <v>1519.63</v>
      </c>
      <c r="D97" s="11" t="n">
        <v>0.0</v>
      </c>
      <c r="E97" s="11" t="n">
        <v>0.0</v>
      </c>
      <c r="F97" s="11" t="n">
        <v>0.0</v>
      </c>
    </row>
    <row r="98">
      <c r="A98" s="26" t="inlineStr">
        <is>
          <t>Total for Non Operating Expense</t>
        </is>
      </c>
      <c r="B98" s="5" t="n">
        <f>(+(B87)+(B88)+(B89)+(B90)+(B91)+(B92)+(B93)+(B94)+(B95)+(B96)+(B97))</f>
        <v>0.0</v>
      </c>
      <c r="C98" s="5" t="n">
        <f>(+(C87)+(C88)+(C89)+(C90)+(C91)+(C92)+(C93)+(C94)+(C95)+(C96)+(C97))</f>
        <v>0.0</v>
      </c>
      <c r="D98" s="5" t="n">
        <f>(+(D87)+(D88)+(D89)+(D90)+(D91)+(D92)+(D93)+(D94)+(D95)+(D96)+(D97))</f>
        <v>0.0</v>
      </c>
      <c r="E98" s="5" t="n">
        <f>(+(E87)+(E88)+(E89)+(E90)+(E91)+(E92)+(E93)+(E94)+(E95)+(E96)+(E97))</f>
        <v>0.0</v>
      </c>
      <c r="F98" s="5" t="n">
        <f>(+(F87)+(F88)+(F89)+(F90)+(F91)+(F92)+(F93)+(F94)+(F95)+(F96)+(F97))</f>
        <v>0.0</v>
      </c>
    </row>
    <row r="100">
      <c r="A100" s="5" t="inlineStr">
        <is>
          <t>Net Profit/Loss</t>
        </is>
      </c>
      <c r="B100" s="5" t="n">
        <f>((((+(B6)+(B7)+(B8)+(B9)+(B10)+(B11)+(B12)+(B13)+(B14)+(B15))-(+(B19)+(B20)+(B21)+(B22)+(B23)+(B24)+(B25)+(B26)+(B27)+(B28)+(B29)+(B30)+(B31)))-(+(B37)+(B38)+(B39)+(B40)+(B41)+(B42)+(B43)+(B44)+(B45)+(B46)+(B47)+(B48)+(B49)+(B50)+(B51)+(B52)+(B53)+(B54)+(B55)+(B56)+(B57)+(B58)+(B59)+(B60)+(B61)+(B62)+(B63)+(B64)+(B65)+(B66)+(B67)+(B68)+(B69)+(B70)+(B71)+(B72)+(B73)+(B74)+(B75)+(B76)))+(+(B82)+(B83))-(+(B87)+(B88)+(B89)+(B90)+(B91)+(B92)+(B93)+(B94)+(B95)+(B96)+(B97)))</f>
        <v>0.0</v>
      </c>
      <c r="C100" s="5" t="n">
        <f>((((+(C6)+(C7)+(C8)+(C9)+(C10)+(C11)+(C12)+(C13)+(C14)+(C15))-(+(C19)+(C20)+(C21)+(C22)+(C23)+(C24)+(C25)+(C26)+(C27)+(C28)+(C29)+(C30)+(C31)))-(+(C37)+(C38)+(C39)+(C40)+(C41)+(C42)+(C43)+(C44)+(C45)+(C46)+(C47)+(C48)+(C49)+(C50)+(C51)+(C52)+(C53)+(C54)+(C55)+(C56)+(C57)+(C58)+(C59)+(C60)+(C61)+(C62)+(C63)+(C64)+(C65)+(C66)+(C67)+(C68)+(C69)+(C70)+(C71)+(C72)+(C73)+(C74)+(C75)+(C76)))+(+(C82)+(C83))-(+(C87)+(C88)+(C89)+(C90)+(C91)+(C92)+(C93)+(C94)+(C95)+(C96)+(C97)))</f>
        <v>0.0</v>
      </c>
      <c r="D100" s="5" t="n">
        <f>((((+(D6)+(D7)+(D8)+(D9)+(D10)+(D11)+(D12)+(D13)+(D14)+(D15))-(+(D19)+(D20)+(D21)+(D22)+(D23)+(D24)+(D25)+(D26)+(D27)+(D28)+(D29)+(D30)+(D31)))-(+(D37)+(D38)+(D39)+(D40)+(D41)+(D42)+(D43)+(D44)+(D45)+(D46)+(D47)+(D48)+(D49)+(D50)+(D51)+(D52)+(D53)+(D54)+(D55)+(D56)+(D57)+(D58)+(D59)+(D60)+(D61)+(D62)+(D63)+(D64)+(D65)+(D66)+(D67)+(D68)+(D69)+(D70)+(D71)+(D72)+(D73)+(D74)+(D75)+(D76)))+(+(D82)+(D83))-(+(D87)+(D88)+(D89)+(D90)+(D91)+(D92)+(D93)+(D94)+(D95)+(D96)+(D97)))</f>
        <v>0.0</v>
      </c>
      <c r="E100" s="5" t="n">
        <f>((((+(E6)+(E7)+(E8)+(E9)+(E10)+(E11)+(E12)+(E13)+(E14)+(E15))-(+(E19)+(E20)+(E21)+(E22)+(E23)+(E24)+(E25)+(E26)+(E27)+(E28)+(E29)+(E30)+(E31)))-(+(E37)+(E38)+(E39)+(E40)+(E41)+(E42)+(E43)+(E44)+(E45)+(E46)+(E47)+(E48)+(E49)+(E50)+(E51)+(E52)+(E53)+(E54)+(E55)+(E56)+(E57)+(E58)+(E59)+(E60)+(E61)+(E62)+(E63)+(E64)+(E65)+(E66)+(E67)+(E68)+(E69)+(E70)+(E71)+(E72)+(E73)+(E74)+(E75)+(E76)))+(+(E82)+(E83))-(+(E87)+(E88)+(E89)+(E90)+(E91)+(E92)+(E93)+(E94)+(E95)+(E96)+(E97)))</f>
        <v>0.0</v>
      </c>
      <c r="F100" s="5" t="n">
        <f>((((+(F6)+(F7)+(F8)+(F9)+(F10)+(F11)+(F12)+(F13)+(F14)+(F15))-(+(F19)+(F20)+(F21)+(F22)+(F23)+(F24)+(F25)+(F26)+(F27)+(F28)+(F29)+(F30)+(F31)))-(+(F37)+(F38)+(F39)+(F40)+(F41)+(F42)+(F43)+(F44)+(F45)+(F46)+(F47)+(F48)+(F49)+(F50)+(F51)+(F52)+(F53)+(F54)+(F55)+(F56)+(F57)+(F58)+(F59)+(F60)+(F61)+(F62)+(F63)+(F64)+(F65)+(F66)+(F67)+(F68)+(F69)+(F70)+(F71)+(F72)+(F73)+(F74)+(F75)+(F76)))+(+(F82)+(F83))-(+(F87)+(F88)+(F89)+(F90)+(F91)+(F92)+(F93)+(F94)+(F95)+(F96)+(F97)))</f>
        <v>0.0</v>
      </c>
    </row>
    <row r="101">
      <c r="A101" s="13" t="inlineStr">
        <is>
          <t/>
        </is>
      </c>
    </row>
  </sheetData>
  <mergeCells count="7">
    <mergeCell ref="A1:F1"/>
    <mergeCell ref="B5:E5"/>
    <mergeCell ref="B18:E18"/>
    <mergeCell ref="B36:E36"/>
    <mergeCell ref="B81:E81"/>
    <mergeCell ref="B86:E86"/>
    <mergeCell ref="A101:F10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2026-04-15T19:48:06Z</dcterms:created>
  <dc:creator>Apache POI</dc:creator>
</cp:coreProperties>
</file>